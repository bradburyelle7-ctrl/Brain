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IES" sheetId="1" r:id="rId5"/>
    <sheet state="visible" name="PRICE" sheetId="2" r:id="rId6"/>
  </sheets>
  <definedNames/>
  <calcPr/>
</workbook>
</file>

<file path=xl/sharedStrings.xml><?xml version="1.0" encoding="utf-8"?>
<sst xmlns="http://schemas.openxmlformats.org/spreadsheetml/2006/main" count="28" uniqueCount="27">
  <si>
    <t>Month #</t>
  </si>
  <si>
    <t>Quarter #</t>
  </si>
  <si>
    <t>Date</t>
  </si>
  <si>
    <t>Close ($)</t>
  </si>
  <si>
    <t>Quarter</t>
  </si>
  <si>
    <t>Rate of change ($/month)</t>
  </si>
  <si>
    <t>Deliveries (vehicles)</t>
  </si>
  <si>
    <t>One-off calculations</t>
  </si>
  <si>
    <t>Rate of change (vehicles/quarter)</t>
  </si>
  <si>
    <t>Q1 2023</t>
  </si>
  <si>
    <t>Average rate of change, Q1 2023 to Q4 2025 (vehicles/quarter)</t>
  </si>
  <si>
    <t>Q2 2023</t>
  </si>
  <si>
    <t>Average rate of change, Jan 2023 to Dec 2025 ($/month)</t>
  </si>
  <si>
    <t>Q3 2023</t>
  </si>
  <si>
    <t>Instantaneous rate at Q1 2024 (vehicles/quarter)</t>
  </si>
  <si>
    <t>Q4 2023</t>
  </si>
  <si>
    <t>Q1 2024</t>
  </si>
  <si>
    <t>Instantaneous rate at Jan 2024 ($/month)</t>
  </si>
  <si>
    <t>Relative rate at Q1 2024 (% per quarter)</t>
  </si>
  <si>
    <t>Q2 2024</t>
  </si>
  <si>
    <t>Relative rate at Jan 2024 (% per month)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</si>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</sst>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Tesla quarterly deliveries, Q1 2023 - Q4 2025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DELIVERIES!$C$1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DELIVERIES!$A$2:$A$13</c:f>
            </c:numRef>
          </c:xVal>
          <c:yVal>
            <c:numRef>
              <c:f>DELIVERIES!$C$2:$C$13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317040"/>
        <c:axId val="397089242"/>
      </c:scatterChart>
      <c:valAx>
        <c:axId val="10493170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(quarters since Q1 2023)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089242"/>
      </c:valAx>
      <c:valAx>
        <c:axId val="397089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Deliveries (vehicles)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317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Tesla deliveries: rate of change by quarter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DELIVERIES!$D$1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DELIVERIES!$A$2:$A$13</c:f>
            </c:numRef>
          </c:xVal>
          <c:yVal>
            <c:numRef>
              <c:f>DELIVERIES!$D$2:$D$13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417606"/>
        <c:axId val="176037793"/>
      </c:scatterChart>
      <c:valAx>
        <c:axId val="5794176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(quarters since Q1 2023)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37793"/>
      </c:valAx>
      <c:valAx>
        <c:axId val="176037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Rate of change of deliveries (vehicles/quarter)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417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TSLA monthly closing price, Jan 2023 - Dec 2025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PRICE!$C$1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PRICE!$A$2:$A$37</c:f>
            </c:numRef>
          </c:xVal>
          <c:yVal>
            <c:numRef>
              <c:f>PRICE!$C$2:$C$37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607885"/>
        <c:axId val="1324447125"/>
      </c:scatterChart>
      <c:valAx>
        <c:axId val="12486078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(months since Jan 2023)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447125"/>
      </c:valAx>
      <c:valAx>
        <c:axId val="1324447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Closing 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607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TSLA price: rate of change by month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PRICE!$D$1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PRICE!$A$2:$A$37</c:f>
            </c:numRef>
          </c:xVal>
          <c:yVal>
            <c:numRef>
              <c:f>PRICE!$D$2:$D$37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208707"/>
        <c:axId val="1810257322"/>
      </c:scatterChart>
      <c:valAx>
        <c:axId val="20162087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(months since Jan 2023)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257322"/>
      </c:valAx>
      <c:valAx>
        <c:axId val="1810257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Rate of change of price ($/month)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208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4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400050</xdr:colOff>
      <xdr:row>22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390525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390525</xdr:colOff>
      <xdr:row>17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F1" s="1" t="s">
        <v>7</v>
      </c>
    </row>
    <row r="2">
      <c r="A2" s="1">
        <v>1.0</v>
      </c>
      <c r="B2" s="1" t="s">
        <v>9</v>
      </c>
      <c r="C2" s="1">
        <v>422875.0</v>
      </c>
      <c r="D2" s="3">
        <f t="shared" ref="D2:D12" si="1">(C3-C2)/(A3-A2)</f>
        <v>43265</v>
      </c>
      <c r="F2" s="1" t="s">
        <v>10</v>
      </c>
    </row>
    <row r="3">
      <c r="A3" s="1">
        <v>2.0</v>
      </c>
      <c r="B3" s="1" t="s">
        <v>11</v>
      </c>
      <c r="C3" s="1">
        <v>466140.0</v>
      </c>
      <c r="D3" s="3">
        <f t="shared" si="1"/>
        <v>-31081</v>
      </c>
      <c r="F3" s="3">
        <f>(C13-C2)/(A13-A2)</f>
        <v>-422.5454545</v>
      </c>
    </row>
    <row r="4">
      <c r="A4" s="1">
        <v>3.0</v>
      </c>
      <c r="B4" s="1" t="s">
        <v>13</v>
      </c>
      <c r="C4" s="1">
        <v>435059.0</v>
      </c>
      <c r="D4" s="3">
        <f t="shared" si="1"/>
        <v>49448</v>
      </c>
      <c r="F4" s="1" t="s">
        <v>14</v>
      </c>
    </row>
    <row r="5">
      <c r="A5" s="1">
        <v>4.0</v>
      </c>
      <c r="B5" s="1" t="s">
        <v>15</v>
      </c>
      <c r="C5" s="1">
        <v>484507.0</v>
      </c>
      <c r="D5" s="3">
        <f t="shared" si="1"/>
        <v>-97697</v>
      </c>
      <c r="F5" s="3">
        <f>D6</f>
        <v>57146</v>
      </c>
    </row>
    <row r="6">
      <c r="A6" s="1">
        <v>5.0</v>
      </c>
      <c r="B6" s="1" t="s">
        <v>16</v>
      </c>
      <c r="C6" s="1">
        <v>386810.0</v>
      </c>
      <c r="D6" s="3">
        <f t="shared" si="1"/>
        <v>57146</v>
      </c>
      <c r="F6" s="1" t="s">
        <v>18</v>
      </c>
    </row>
    <row r="7">
      <c r="A7" s="1">
        <v>6.0</v>
      </c>
      <c r="B7" s="1" t="s">
        <v>19</v>
      </c>
      <c r="C7" s="1">
        <v>443956.0</v>
      </c>
      <c r="D7" s="3">
        <f t="shared" si="1"/>
        <v>18934</v>
      </c>
      <c r="F7" s="3">
        <f>D6/C6*100</f>
        <v>14.77366149</v>
      </c>
    </row>
    <row r="8">
      <c r="A8" s="1">
        <v>7.0</v>
      </c>
      <c r="B8" s="1" t="s">
        <v>21</v>
      </c>
      <c r="C8" s="1">
        <v>462890.0</v>
      </c>
      <c r="D8" s="3">
        <f t="shared" si="1"/>
        <v>32680</v>
      </c>
    </row>
    <row r="9">
      <c r="A9" s="1">
        <v>8.0</v>
      </c>
      <c r="B9" s="1" t="s">
        <v>22</v>
      </c>
      <c r="C9" s="1">
        <v>495570.0</v>
      </c>
      <c r="D9" s="3">
        <f t="shared" si="1"/>
        <v>-158889</v>
      </c>
    </row>
    <row r="10">
      <c r="A10" s="1">
        <v>9.0</v>
      </c>
      <c r="B10" s="1" t="s">
        <v>23</v>
      </c>
      <c r="C10" s="1">
        <v>336681.0</v>
      </c>
      <c r="D10" s="3">
        <f t="shared" si="1"/>
        <v>47441</v>
      </c>
    </row>
    <row r="11">
      <c r="A11" s="1">
        <v>10.0</v>
      </c>
      <c r="B11" s="1" t="s">
        <v>24</v>
      </c>
      <c r="C11" s="1">
        <v>384122.0</v>
      </c>
      <c r="D11" s="3">
        <f t="shared" si="1"/>
        <v>112977</v>
      </c>
    </row>
    <row r="12">
      <c r="A12" s="1">
        <v>11.0</v>
      </c>
      <c r="B12" s="1" t="s">
        <v>25</v>
      </c>
      <c r="C12" s="1">
        <v>497099.0</v>
      </c>
      <c r="D12" s="3">
        <f t="shared" si="1"/>
        <v>-78872</v>
      </c>
    </row>
    <row r="13">
      <c r="A13" s="1">
        <v>12.0</v>
      </c>
      <c r="B13" s="1" t="s">
        <v>26</v>
      </c>
      <c r="C13" s="1">
        <v>418227.0</v>
      </c>
      <c r="D13" s="3">
        <f>(C13-C12)/(A13-A12)</f>
        <v>-78872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F1" s="1" t="s">
        <v>7</v>
      </c>
    </row>
    <row r="2">
      <c r="A2" s="1">
        <v>1.0</v>
      </c>
      <c r="B2" s="2">
        <v>44927.0</v>
      </c>
      <c r="C2" s="1">
        <v>173.22</v>
      </c>
      <c r="D2" s="3">
        <f t="shared" ref="D2:D36" si="1">(C3-C2)/(A3-A2)</f>
        <v>32.49</v>
      </c>
      <c r="F2" s="1" t="s">
        <v>12</v>
      </c>
    </row>
    <row r="3">
      <c r="A3" s="1">
        <v>2.0</v>
      </c>
      <c r="B3" s="2">
        <v>44958.0</v>
      </c>
      <c r="C3" s="1">
        <v>205.71</v>
      </c>
      <c r="D3" s="3">
        <f t="shared" si="1"/>
        <v>1.75</v>
      </c>
      <c r="F3" s="3">
        <f>(C37-C2)/(A37-A2)</f>
        <v>7.9</v>
      </c>
    </row>
    <row r="4">
      <c r="A4" s="1">
        <v>3.0</v>
      </c>
      <c r="B4" s="2">
        <v>44986.0</v>
      </c>
      <c r="C4" s="1">
        <v>207.46</v>
      </c>
      <c r="D4" s="3">
        <f t="shared" si="1"/>
        <v>-43.15</v>
      </c>
      <c r="F4" s="1" t="s">
        <v>17</v>
      </c>
    </row>
    <row r="5">
      <c r="A5" s="1">
        <v>4.0</v>
      </c>
      <c r="B5" s="2">
        <v>45017.0</v>
      </c>
      <c r="C5" s="1">
        <v>164.31</v>
      </c>
      <c r="D5" s="3">
        <f t="shared" si="1"/>
        <v>39.62</v>
      </c>
      <c r="F5" s="3">
        <f>D14</f>
        <v>14.59</v>
      </c>
    </row>
    <row r="6">
      <c r="A6" s="1">
        <v>5.0</v>
      </c>
      <c r="B6" s="2">
        <v>45047.0</v>
      </c>
      <c r="C6" s="1">
        <v>203.93</v>
      </c>
      <c r="D6" s="3">
        <f t="shared" si="1"/>
        <v>57.84</v>
      </c>
      <c r="F6" s="1" t="s">
        <v>20</v>
      </c>
    </row>
    <row r="7">
      <c r="A7" s="1">
        <v>6.0</v>
      </c>
      <c r="B7" s="2">
        <v>45078.0</v>
      </c>
      <c r="C7" s="1">
        <v>261.77</v>
      </c>
      <c r="D7" s="3">
        <f t="shared" si="1"/>
        <v>5.66</v>
      </c>
      <c r="F7" s="3">
        <f>D14/C14*100</f>
        <v>7.790058199</v>
      </c>
    </row>
    <row r="8">
      <c r="A8" s="1">
        <v>7.0</v>
      </c>
      <c r="B8" s="2">
        <v>45108.0</v>
      </c>
      <c r="C8" s="1">
        <v>267.43</v>
      </c>
      <c r="D8" s="3">
        <f t="shared" si="1"/>
        <v>-9.35</v>
      </c>
    </row>
    <row r="9">
      <c r="A9" s="1">
        <v>8.0</v>
      </c>
      <c r="B9" s="2">
        <v>45139.0</v>
      </c>
      <c r="C9" s="1">
        <v>258.08</v>
      </c>
      <c r="D9" s="3">
        <f t="shared" si="1"/>
        <v>-7.86</v>
      </c>
    </row>
    <row r="10">
      <c r="A10" s="1">
        <v>9.0</v>
      </c>
      <c r="B10" s="2">
        <v>45170.0</v>
      </c>
      <c r="C10" s="1">
        <v>250.22</v>
      </c>
      <c r="D10" s="3">
        <f t="shared" si="1"/>
        <v>-49.38</v>
      </c>
    </row>
    <row r="11">
      <c r="A11" s="1">
        <v>10.0</v>
      </c>
      <c r="B11" s="4">
        <v>45200.0</v>
      </c>
      <c r="C11" s="1">
        <v>200.84</v>
      </c>
      <c r="D11" s="3">
        <f t="shared" si="1"/>
        <v>39.24</v>
      </c>
    </row>
    <row r="12">
      <c r="A12" s="1">
        <v>11.0</v>
      </c>
      <c r="B12" s="4">
        <v>45231.0</v>
      </c>
      <c r="C12" s="1">
        <v>240.08</v>
      </c>
      <c r="D12" s="3">
        <f t="shared" si="1"/>
        <v>8.4</v>
      </c>
    </row>
    <row r="13">
      <c r="A13" s="1">
        <v>12.0</v>
      </c>
      <c r="B13" s="4">
        <v>45261.0</v>
      </c>
      <c r="C13" s="1">
        <v>248.48</v>
      </c>
      <c r="D13" s="3">
        <f t="shared" si="1"/>
        <v>-61.19</v>
      </c>
    </row>
    <row r="14">
      <c r="A14" s="1">
        <v>13.0</v>
      </c>
      <c r="B14" s="2">
        <v>45292.0</v>
      </c>
      <c r="C14" s="1">
        <v>187.29</v>
      </c>
      <c r="D14" s="3">
        <f t="shared" si="1"/>
        <v>14.59</v>
      </c>
    </row>
    <row r="15">
      <c r="A15" s="1">
        <v>14.0</v>
      </c>
      <c r="B15" s="2">
        <v>45323.0</v>
      </c>
      <c r="C15" s="1">
        <v>201.88</v>
      </c>
      <c r="D15" s="3">
        <f t="shared" si="1"/>
        <v>-26.09</v>
      </c>
    </row>
    <row r="16">
      <c r="A16" s="1">
        <v>15.0</v>
      </c>
      <c r="B16" s="2">
        <v>45352.0</v>
      </c>
      <c r="C16" s="1">
        <v>175.79</v>
      </c>
      <c r="D16" s="3">
        <f t="shared" si="1"/>
        <v>7.49</v>
      </c>
    </row>
    <row r="17">
      <c r="A17" s="1">
        <v>16.0</v>
      </c>
      <c r="B17" s="2">
        <v>45383.0</v>
      </c>
      <c r="C17" s="1">
        <v>183.28</v>
      </c>
      <c r="D17" s="3">
        <f t="shared" si="1"/>
        <v>-5.2</v>
      </c>
    </row>
    <row r="18">
      <c r="A18" s="1">
        <v>17.0</v>
      </c>
      <c r="B18" s="2">
        <v>45413.0</v>
      </c>
      <c r="C18" s="1">
        <v>178.08</v>
      </c>
      <c r="D18" s="3">
        <f t="shared" si="1"/>
        <v>19.8</v>
      </c>
    </row>
    <row r="19">
      <c r="A19" s="1">
        <v>18.0</v>
      </c>
      <c r="B19" s="2">
        <v>45444.0</v>
      </c>
      <c r="C19" s="1">
        <v>197.88</v>
      </c>
      <c r="D19" s="3">
        <f t="shared" si="1"/>
        <v>34.19</v>
      </c>
    </row>
    <row r="20">
      <c r="A20" s="1">
        <v>19.0</v>
      </c>
      <c r="B20" s="2">
        <v>45474.0</v>
      </c>
      <c r="C20" s="1">
        <v>232.07</v>
      </c>
      <c r="D20" s="3">
        <f t="shared" si="1"/>
        <v>-17.96</v>
      </c>
    </row>
    <row r="21">
      <c r="A21" s="1">
        <v>20.0</v>
      </c>
      <c r="B21" s="2">
        <v>45505.0</v>
      </c>
      <c r="C21" s="1">
        <v>214.11</v>
      </c>
      <c r="D21" s="3">
        <f t="shared" si="1"/>
        <v>47.52</v>
      </c>
    </row>
    <row r="22">
      <c r="A22" s="1">
        <v>21.0</v>
      </c>
      <c r="B22" s="2">
        <v>45536.0</v>
      </c>
      <c r="C22" s="1">
        <v>261.63</v>
      </c>
      <c r="D22" s="3">
        <f t="shared" si="1"/>
        <v>-11.78</v>
      </c>
    </row>
    <row r="23">
      <c r="A23" s="1">
        <v>22.0</v>
      </c>
      <c r="B23" s="4">
        <v>45566.0</v>
      </c>
      <c r="C23" s="1">
        <v>249.85</v>
      </c>
      <c r="D23" s="3">
        <f t="shared" si="1"/>
        <v>95.31</v>
      </c>
    </row>
    <row r="24">
      <c r="A24" s="1">
        <v>23.0</v>
      </c>
      <c r="B24" s="4">
        <v>45597.0</v>
      </c>
      <c r="C24" s="1">
        <v>345.16</v>
      </c>
      <c r="D24" s="3">
        <f t="shared" si="1"/>
        <v>58.68</v>
      </c>
    </row>
    <row r="25">
      <c r="A25" s="1">
        <v>24.0</v>
      </c>
      <c r="B25" s="4">
        <v>45627.0</v>
      </c>
      <c r="C25" s="1">
        <v>403.84</v>
      </c>
      <c r="D25" s="3">
        <f t="shared" si="1"/>
        <v>0.76</v>
      </c>
    </row>
    <row r="26">
      <c r="A26" s="1">
        <v>25.0</v>
      </c>
      <c r="B26" s="2">
        <v>45658.0</v>
      </c>
      <c r="C26" s="1">
        <v>404.6</v>
      </c>
      <c r="D26" s="3">
        <f t="shared" si="1"/>
        <v>-111.62</v>
      </c>
    </row>
    <row r="27">
      <c r="A27" s="1">
        <v>26.0</v>
      </c>
      <c r="B27" s="2">
        <v>45689.0</v>
      </c>
      <c r="C27" s="1">
        <v>292.98</v>
      </c>
      <c r="D27" s="3">
        <f t="shared" si="1"/>
        <v>-33.82</v>
      </c>
    </row>
    <row r="28">
      <c r="A28" s="1">
        <v>27.0</v>
      </c>
      <c r="B28" s="2">
        <v>45717.0</v>
      </c>
      <c r="C28" s="1">
        <v>259.16</v>
      </c>
      <c r="D28" s="3">
        <f t="shared" si="1"/>
        <v>23</v>
      </c>
    </row>
    <row r="29">
      <c r="A29" s="1">
        <v>28.0</v>
      </c>
      <c r="B29" s="2">
        <v>45748.0</v>
      </c>
      <c r="C29" s="1">
        <v>282.16</v>
      </c>
      <c r="D29" s="3">
        <f t="shared" si="1"/>
        <v>64.3</v>
      </c>
    </row>
    <row r="30">
      <c r="A30" s="1">
        <v>29.0</v>
      </c>
      <c r="B30" s="2">
        <v>45778.0</v>
      </c>
      <c r="C30" s="1">
        <v>346.46</v>
      </c>
      <c r="D30" s="3">
        <f t="shared" si="1"/>
        <v>-28.8</v>
      </c>
    </row>
    <row r="31">
      <c r="A31" s="1">
        <v>30.0</v>
      </c>
      <c r="B31" s="2">
        <v>45809.0</v>
      </c>
      <c r="C31" s="1">
        <v>317.66</v>
      </c>
      <c r="D31" s="3">
        <f t="shared" si="1"/>
        <v>-9.39</v>
      </c>
    </row>
    <row r="32">
      <c r="A32" s="1">
        <v>31.0</v>
      </c>
      <c r="B32" s="2">
        <v>45839.0</v>
      </c>
      <c r="C32" s="1">
        <v>308.27</v>
      </c>
      <c r="D32" s="3">
        <f t="shared" si="1"/>
        <v>25.6</v>
      </c>
    </row>
    <row r="33">
      <c r="A33" s="1">
        <v>32.0</v>
      </c>
      <c r="B33" s="2">
        <v>45870.0</v>
      </c>
      <c r="C33" s="1">
        <v>333.87</v>
      </c>
      <c r="D33" s="3">
        <f t="shared" si="1"/>
        <v>110.85</v>
      </c>
    </row>
    <row r="34">
      <c r="A34" s="1">
        <v>33.0</v>
      </c>
      <c r="B34" s="2">
        <v>45901.0</v>
      </c>
      <c r="C34" s="1">
        <v>444.72</v>
      </c>
      <c r="D34" s="3">
        <f t="shared" si="1"/>
        <v>11.84</v>
      </c>
    </row>
    <row r="35">
      <c r="A35" s="1">
        <v>34.0</v>
      </c>
      <c r="B35" s="4">
        <v>45931.0</v>
      </c>
      <c r="C35" s="1">
        <v>456.56</v>
      </c>
      <c r="D35" s="3">
        <f t="shared" si="1"/>
        <v>-26.39</v>
      </c>
    </row>
    <row r="36">
      <c r="A36" s="1">
        <v>35.0</v>
      </c>
      <c r="B36" s="4">
        <v>45962.0</v>
      </c>
      <c r="C36" s="1">
        <v>430.17</v>
      </c>
      <c r="D36" s="3">
        <f t="shared" si="1"/>
        <v>19.55</v>
      </c>
    </row>
    <row r="37">
      <c r="A37" s="1">
        <v>36.0</v>
      </c>
      <c r="B37" s="4">
        <v>45992.0</v>
      </c>
      <c r="C37" s="1">
        <v>449.72</v>
      </c>
      <c r="D37" s="3">
        <f>(C37-C36)/(A37-A36)</f>
        <v>19.55</v>
      </c>
    </row>
    <row r="38">
      <c r="C38" s="1"/>
    </row>
  </sheetData>
  <drawing r:id="rId1"/>
</worksheet>
</file>